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co\Dropbox\RoccoData\06_MyLab_Surrey\01 Number vs. Semantics\03_TMS_study_AngularGyrus\01_Expt_codes\x.Upload_to_Github\Study_3\"/>
    </mc:Choice>
  </mc:AlternateContent>
  <xr:revisionPtr revIDLastSave="0" documentId="13_ncr:1_{99DE96F7-5094-4ED6-AF3B-7CB8DE349730}" xr6:coauthVersionLast="47" xr6:coauthVersionMax="47" xr10:uidLastSave="{00000000-0000-0000-0000-000000000000}"/>
  <bookViews>
    <workbookView xWindow="-108" yWindow="-108" windowWidth="23256" windowHeight="12456" xr2:uid="{640091C8-E58B-4E6F-8E54-5CBC11CDD2A2}"/>
  </bookViews>
  <sheets>
    <sheet name="PPI parameters in semantic RO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4" i="1" l="1"/>
  <c r="D24" i="1"/>
  <c r="E24" i="1"/>
  <c r="F24" i="1"/>
  <c r="G24" i="1"/>
  <c r="H24" i="1"/>
  <c r="I24" i="1"/>
  <c r="B23" i="1"/>
  <c r="B24" i="1"/>
  <c r="C23" i="1"/>
  <c r="D23" i="1"/>
  <c r="E23" i="1"/>
  <c r="F23" i="1"/>
  <c r="G23" i="1"/>
  <c r="H23" i="1"/>
  <c r="I23" i="1"/>
  <c r="I22" i="1"/>
  <c r="H22" i="1"/>
  <c r="G22" i="1"/>
  <c r="F22" i="1"/>
  <c r="E22" i="1"/>
  <c r="D22" i="1"/>
  <c r="C22" i="1"/>
  <c r="B22" i="1"/>
  <c r="I21" i="1"/>
  <c r="H21" i="1"/>
  <c r="G21" i="1"/>
  <c r="F21" i="1"/>
  <c r="E21" i="1"/>
  <c r="D21" i="1"/>
  <c r="C21" i="1"/>
  <c r="B21" i="1"/>
</calcChain>
</file>

<file path=xl/sharedStrings.xml><?xml version="1.0" encoding="utf-8"?>
<sst xmlns="http://schemas.openxmlformats.org/spreadsheetml/2006/main" count="31" uniqueCount="31">
  <si>
    <t>ATL - STG</t>
  </si>
  <si>
    <t>ATL - MTG</t>
  </si>
  <si>
    <t>ATL - ITG</t>
  </si>
  <si>
    <t>ATL - TP</t>
  </si>
  <si>
    <t>IFG - op</t>
  </si>
  <si>
    <t>IFG - tr</t>
  </si>
  <si>
    <t>IFG - orb</t>
  </si>
  <si>
    <t>pMTG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</si>
  <si>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</si>
  <si>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</si>
  <si>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</si>
  <si>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</si>
  <si>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</si>
  <si>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</si>
  <si>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</si>
  <si>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</si>
  <si>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</si>
  <si>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</si>
  <si>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</si>
  <si>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</si>
  <si>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</si>
  <si>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</si>
  <si>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</si>
  <si>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</si>
  <si>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</si>
  <si>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</si>
  <si>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Mean</t>
  </si>
  <si>
    <t>SEM</t>
  </si>
  <si>
    <t>chance</t>
  </si>
  <si>
    <t>t-test (1-tailed)</t>
  </si>
  <si>
    <t>t-test (2-tailed)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</si>
</sst>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7E92-7CDF-4151-B168-C85823C7B144}">
  <dimension ref="A1:K24"/>
  <sheetViews>
    <sheetView tabSelected="1" zoomScaleNormal="100" workbookViewId="0"/>
  </sheetViews>
  <sheetFormatPr defaultRowHeight="14.4" x14ac:dyDescent="0.3"/>
  <cols>
    <col min="1" max="1" width="14.77734375" customWidth="1"/>
  </cols>
  <sheetData>
    <row r="1" spans="1:11" x14ac:dyDescent="0.3">
      <c r="A1" s="1"/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6" t="s">
        <v>6</v>
      </c>
      <c r="I1" s="10" t="s">
        <v>7</v>
      </c>
      <c r="J1" s="8"/>
      <c r="K1" s="11" t="s">
        <v>28</v>
      </c>
    </row>
    <row r="2" spans="1:11" x14ac:dyDescent="0.3">
      <c r="A2" s="1" t="s">
        <v>8</v>
      </c>
      <c r="B2" s="7">
        <v>0.63276244091396106</v>
      </c>
      <c r="C2" s="7">
        <v>0.55161564295121901</v>
      </c>
      <c r="D2" s="7">
        <v>0.78923433432355505</v>
      </c>
      <c r="E2" s="7">
        <v>1.2600060238675399</v>
      </c>
      <c r="F2" s="7">
        <v>-0.37169411298034299</v>
      </c>
      <c r="G2" s="7">
        <v>-0.152240058609483</v>
      </c>
      <c r="H2" s="7">
        <v>0.90319065755588301</v>
      </c>
      <c r="I2" s="7">
        <v>1.06071477488018</v>
      </c>
      <c r="J2" s="8"/>
      <c r="K2" s="8">
        <v>0</v>
      </c>
    </row>
    <row r="3" spans="1:11" x14ac:dyDescent="0.3">
      <c r="A3" s="1" t="s">
        <v>9</v>
      </c>
      <c r="B3" s="7">
        <v>-0.86571142691692304</v>
      </c>
      <c r="C3" s="7">
        <v>-0.83630050187930505</v>
      </c>
      <c r="D3" s="7">
        <v>-0.155168966653291</v>
      </c>
      <c r="E3" s="7">
        <v>-0.63185424379379396</v>
      </c>
      <c r="F3" s="7">
        <v>0.19957940207948399</v>
      </c>
      <c r="G3" s="7">
        <v>0.15287978056919399</v>
      </c>
      <c r="H3" s="7">
        <v>-3.8683536924009498E-2</v>
      </c>
      <c r="I3" s="7">
        <v>-0.60558342598797199</v>
      </c>
      <c r="J3" s="8"/>
      <c r="K3" s="8">
        <v>0</v>
      </c>
    </row>
    <row r="4" spans="1:11" x14ac:dyDescent="0.3">
      <c r="A4" s="1" t="s">
        <v>10</v>
      </c>
      <c r="B4" s="7">
        <v>-1.55080326546325</v>
      </c>
      <c r="C4" s="7">
        <v>-1.2735103241750001</v>
      </c>
      <c r="D4" s="7">
        <v>-9.5493083612527702E-2</v>
      </c>
      <c r="E4" s="7">
        <v>-0.26009155033445103</v>
      </c>
      <c r="F4" s="7">
        <v>0.33340147626810102</v>
      </c>
      <c r="G4" s="7">
        <v>0.38396158752851001</v>
      </c>
      <c r="H4" s="7">
        <v>-5.1206609801432899E-2</v>
      </c>
      <c r="I4" s="7">
        <v>0.62007660523391805</v>
      </c>
      <c r="J4" s="8"/>
      <c r="K4" s="8">
        <v>0</v>
      </c>
    </row>
    <row r="5" spans="1:11" x14ac:dyDescent="0.3">
      <c r="A5" s="1" t="s">
        <v>11</v>
      </c>
      <c r="B5" s="7">
        <v>-9.7275445493691798E-2</v>
      </c>
      <c r="C5" s="7">
        <v>-9.1847351919568596E-2</v>
      </c>
      <c r="D5" s="7">
        <v>-9.2770097561588105E-2</v>
      </c>
      <c r="E5" s="7">
        <v>0.37033168572053499</v>
      </c>
      <c r="F5" s="7">
        <v>0.15977530553390601</v>
      </c>
      <c r="G5" s="7">
        <v>0.30675484621545901</v>
      </c>
      <c r="H5" s="7">
        <v>0.21024101772229001</v>
      </c>
      <c r="I5" s="7">
        <v>-7.9480198000065894E-2</v>
      </c>
      <c r="J5" s="8"/>
      <c r="K5" s="8">
        <v>0</v>
      </c>
    </row>
    <row r="6" spans="1:11" x14ac:dyDescent="0.3">
      <c r="A6" s="1" t="s">
        <v>12</v>
      </c>
      <c r="B6" s="7">
        <v>0.189668176525747</v>
      </c>
      <c r="C6" s="7">
        <v>0.30474857508379499</v>
      </c>
      <c r="D6" s="7">
        <v>-0.109244097574847</v>
      </c>
      <c r="E6" s="7">
        <v>0.27506936980501101</v>
      </c>
      <c r="F6" s="7">
        <v>0.25831084258086001</v>
      </c>
      <c r="G6" s="7">
        <v>0.26946227813789703</v>
      </c>
      <c r="H6" s="7">
        <v>0.349487577116738</v>
      </c>
      <c r="I6" s="7">
        <v>0.51911596300896601</v>
      </c>
      <c r="J6" s="8"/>
      <c r="K6" s="8">
        <v>0</v>
      </c>
    </row>
    <row r="7" spans="1:11" x14ac:dyDescent="0.3">
      <c r="A7" s="1" t="s">
        <v>13</v>
      </c>
      <c r="B7" s="7">
        <v>-0.12982825080878399</v>
      </c>
      <c r="C7" s="7">
        <v>0.41108033789423598</v>
      </c>
      <c r="D7" s="7">
        <v>0.50662697511754196</v>
      </c>
      <c r="E7" s="7">
        <v>0.52658855216639899</v>
      </c>
      <c r="F7" s="7">
        <v>0.12327324166414701</v>
      </c>
      <c r="G7" s="7">
        <v>0.31691737067306802</v>
      </c>
      <c r="H7" s="7">
        <v>0.202759121053044</v>
      </c>
      <c r="I7" s="7">
        <v>0.34780390531980998</v>
      </c>
      <c r="J7" s="8"/>
      <c r="K7" s="8">
        <v>0</v>
      </c>
    </row>
    <row r="8" spans="1:11" x14ac:dyDescent="0.3">
      <c r="A8" s="1" t="s">
        <v>14</v>
      </c>
      <c r="B8" s="7">
        <v>-0.32038329317561498</v>
      </c>
      <c r="C8" s="7">
        <v>-0.14011023667990199</v>
      </c>
      <c r="D8" s="7">
        <v>3.7445852562086698E-2</v>
      </c>
      <c r="E8" s="7">
        <v>-7.8848558610036298E-2</v>
      </c>
      <c r="F8" s="7">
        <v>-3.6078736174087501E-2</v>
      </c>
      <c r="G8" s="7">
        <v>-9.2904997413691001E-2</v>
      </c>
      <c r="H8" s="7">
        <v>0.44821929357092699</v>
      </c>
      <c r="I8" s="7">
        <v>-0.24925816411448801</v>
      </c>
      <c r="J8" s="8"/>
      <c r="K8" s="8">
        <v>0</v>
      </c>
    </row>
    <row r="9" spans="1:11" x14ac:dyDescent="0.3">
      <c r="A9" s="1" t="s">
        <v>15</v>
      </c>
      <c r="B9" s="7">
        <v>-0.12567173721595801</v>
      </c>
      <c r="C9" s="7">
        <v>-0.30204637829447201</v>
      </c>
      <c r="D9" s="7">
        <v>-0.63372316874563706</v>
      </c>
      <c r="E9" s="7">
        <v>-5.9357019885876397E-2</v>
      </c>
      <c r="F9" s="7">
        <v>0.43307114948029002</v>
      </c>
      <c r="G9" s="7">
        <v>0.59197143125767704</v>
      </c>
      <c r="H9" s="7">
        <v>0.13334917592599199</v>
      </c>
      <c r="I9" s="7">
        <v>0.72587874640574601</v>
      </c>
      <c r="J9" s="8"/>
      <c r="K9" s="8">
        <v>0</v>
      </c>
    </row>
    <row r="10" spans="1:11" x14ac:dyDescent="0.3">
      <c r="A10" s="1" t="s">
        <v>16</v>
      </c>
      <c r="B10" s="7">
        <v>-0.98071162472301299</v>
      </c>
      <c r="C10" s="7">
        <v>-1.1865232287556899</v>
      </c>
      <c r="D10" s="7">
        <v>-5.1933458853745798E-2</v>
      </c>
      <c r="E10" s="7">
        <v>-1.1564299592867799</v>
      </c>
      <c r="F10" s="7">
        <v>-7.0421525451180703E-2</v>
      </c>
      <c r="G10" s="7">
        <v>-8.2419443280115495E-2</v>
      </c>
      <c r="H10" s="7">
        <v>3.4532507626052603E-2</v>
      </c>
      <c r="I10" s="7">
        <v>-5.6564656441725203E-2</v>
      </c>
      <c r="J10" s="8"/>
      <c r="K10" s="8">
        <v>0</v>
      </c>
    </row>
    <row r="11" spans="1:11" x14ac:dyDescent="0.3">
      <c r="A11" s="1" t="s">
        <v>17</v>
      </c>
      <c r="B11" s="7">
        <v>0.89554010934502104</v>
      </c>
      <c r="C11" s="7">
        <v>0.95176922222599403</v>
      </c>
      <c r="D11" s="7">
        <v>-0.31983671574620498</v>
      </c>
      <c r="E11" s="7">
        <v>0.74169813500677395</v>
      </c>
      <c r="F11" s="7">
        <v>-1.50958388103104</v>
      </c>
      <c r="G11" s="7">
        <v>-1.68186780578289</v>
      </c>
      <c r="H11" s="7">
        <v>0.66499379531800795</v>
      </c>
      <c r="I11" s="7">
        <v>1.2270549267865301</v>
      </c>
      <c r="J11" s="8"/>
      <c r="K11" s="8">
        <v>0</v>
      </c>
    </row>
    <row r="12" spans="1:11" x14ac:dyDescent="0.3">
      <c r="A12" s="1" t="s">
        <v>18</v>
      </c>
      <c r="B12" s="7">
        <v>1.2162360660731799</v>
      </c>
      <c r="C12" s="7">
        <v>1.95711963959038</v>
      </c>
      <c r="D12" s="7">
        <v>0.33791661438765003</v>
      </c>
      <c r="E12" s="7">
        <v>1.18990284817749</v>
      </c>
      <c r="F12" s="7">
        <v>-3.6998686411387302E-2</v>
      </c>
      <c r="G12" s="7">
        <v>9.8788056214711498E-2</v>
      </c>
      <c r="H12" s="7">
        <v>-1.9474563787113298E-2</v>
      </c>
      <c r="I12" s="7">
        <v>-0.209642284208375</v>
      </c>
      <c r="J12" s="8"/>
      <c r="K12" s="8">
        <v>0</v>
      </c>
    </row>
    <row r="13" spans="1:11" x14ac:dyDescent="0.3">
      <c r="A13" s="1" t="s">
        <v>19</v>
      </c>
      <c r="B13" s="7">
        <v>-1.2297740523376399E-2</v>
      </c>
      <c r="C13" s="7">
        <v>0.169887295667877</v>
      </c>
      <c r="D13" s="7">
        <v>-0.230845270545979</v>
      </c>
      <c r="E13" s="7">
        <v>4.8629907046793E-2</v>
      </c>
      <c r="F13" s="7">
        <v>-5.5825058364965201E-2</v>
      </c>
      <c r="G13" s="7">
        <v>4.4567787854377497E-2</v>
      </c>
      <c r="H13" s="7">
        <v>-0.17538543013708699</v>
      </c>
      <c r="I13" s="7">
        <v>0.30517898525080001</v>
      </c>
      <c r="J13" s="8"/>
      <c r="K13" s="8">
        <v>0</v>
      </c>
    </row>
    <row r="14" spans="1:11" x14ac:dyDescent="0.3">
      <c r="A14" s="1" t="s">
        <v>20</v>
      </c>
      <c r="B14" s="7">
        <v>9.16386130763545E-2</v>
      </c>
      <c r="C14" s="7">
        <v>-5.7474081049440399E-2</v>
      </c>
      <c r="D14" s="7">
        <v>0.48950850291410503</v>
      </c>
      <c r="E14" s="7">
        <v>-0.23338469841304599</v>
      </c>
      <c r="F14" s="7">
        <v>3.27525916701224E-3</v>
      </c>
      <c r="G14" s="7">
        <v>-0.14288928046432001</v>
      </c>
      <c r="H14" s="7">
        <v>0.71258391895138096</v>
      </c>
      <c r="I14" s="7">
        <v>0.27091776048293698</v>
      </c>
      <c r="J14" s="8"/>
      <c r="K14" s="8">
        <v>0</v>
      </c>
    </row>
    <row r="15" spans="1:11" x14ac:dyDescent="0.3">
      <c r="A15" s="1" t="s">
        <v>21</v>
      </c>
      <c r="B15" s="7">
        <v>3.3542225044931602E-2</v>
      </c>
      <c r="C15" s="7">
        <v>0.34822654493327698</v>
      </c>
      <c r="D15" s="7">
        <v>0.369139450248331</v>
      </c>
      <c r="E15" s="7">
        <v>-0.220896045092175</v>
      </c>
      <c r="F15" s="7">
        <v>4.0331216553744699E-2</v>
      </c>
      <c r="G15" s="7">
        <v>-0.12734688992632401</v>
      </c>
      <c r="H15" s="7">
        <v>-0.55128205501021599</v>
      </c>
      <c r="I15" s="7">
        <v>-6.05374409547704E-2</v>
      </c>
      <c r="J15" s="8"/>
      <c r="K15" s="8">
        <v>0</v>
      </c>
    </row>
    <row r="16" spans="1:11" x14ac:dyDescent="0.3">
      <c r="A16" s="1" t="s">
        <v>22</v>
      </c>
      <c r="B16" s="7">
        <v>-0.20454849010930601</v>
      </c>
      <c r="C16" s="7">
        <v>-0.42291202175256298</v>
      </c>
      <c r="D16" s="7">
        <v>0.83111440319567897</v>
      </c>
      <c r="E16" s="7">
        <v>0.205617699282023</v>
      </c>
      <c r="F16" s="7">
        <v>0.228117951822398</v>
      </c>
      <c r="G16" s="7">
        <v>4.79444819041722E-2</v>
      </c>
      <c r="H16" s="7">
        <v>0.34119849243093697</v>
      </c>
      <c r="I16" s="7">
        <v>0.60199614254276401</v>
      </c>
      <c r="J16" s="8"/>
      <c r="K16" s="8">
        <v>0</v>
      </c>
    </row>
    <row r="17" spans="1:11" x14ac:dyDescent="0.3">
      <c r="A17" s="1" t="s">
        <v>23</v>
      </c>
      <c r="B17" s="7">
        <v>-0.57275890464315105</v>
      </c>
      <c r="C17" s="7">
        <v>-0.25122317529167099</v>
      </c>
      <c r="D17" s="7">
        <v>0.39353112595737899</v>
      </c>
      <c r="E17" s="7">
        <v>0.3087291395988</v>
      </c>
      <c r="F17" s="7">
        <v>-0.47916609577403102</v>
      </c>
      <c r="G17" s="7">
        <v>-0.375977316725846</v>
      </c>
      <c r="H17" s="7">
        <v>0.55510689693158999</v>
      </c>
      <c r="I17" s="7">
        <v>0.356119495680493</v>
      </c>
      <c r="J17" s="8"/>
      <c r="K17" s="8">
        <v>0</v>
      </c>
    </row>
    <row r="18" spans="1:11" x14ac:dyDescent="0.3">
      <c r="A18" s="1" t="s">
        <v>24</v>
      </c>
      <c r="B18" s="7">
        <v>0.393470895355781</v>
      </c>
      <c r="C18" s="7">
        <v>0.38129592461045803</v>
      </c>
      <c r="D18" s="7">
        <v>-0.39629048575297898</v>
      </c>
      <c r="E18" s="7">
        <v>0.52577074412082203</v>
      </c>
      <c r="F18" s="7">
        <v>-0.51774675264471803</v>
      </c>
      <c r="G18" s="7">
        <v>-0.20520883987790001</v>
      </c>
      <c r="H18" s="7">
        <v>0.310096110994378</v>
      </c>
      <c r="I18" s="7">
        <v>0.26971639943926501</v>
      </c>
      <c r="J18" s="8"/>
      <c r="K18" s="8">
        <v>0</v>
      </c>
    </row>
    <row r="19" spans="1:11" x14ac:dyDescent="0.3">
      <c r="A19" s="1" t="s">
        <v>25</v>
      </c>
      <c r="B19" s="7">
        <v>0.45848817961247801</v>
      </c>
      <c r="C19" s="7">
        <v>-9.1895707094226994E-2</v>
      </c>
      <c r="D19" s="7">
        <v>-7.2618323215283501E-3</v>
      </c>
      <c r="E19" s="7">
        <v>0.181148800964686</v>
      </c>
      <c r="F19" s="7">
        <v>-0.86269731402069705</v>
      </c>
      <c r="G19" s="7">
        <v>-1.5243732009103399</v>
      </c>
      <c r="H19" s="7">
        <v>-0.22477765405973399</v>
      </c>
      <c r="I19" s="7">
        <v>-2.5172023289690398E-2</v>
      </c>
      <c r="J19" s="8"/>
      <c r="K19" s="8">
        <v>0</v>
      </c>
    </row>
    <row r="20" spans="1:11" x14ac:dyDescent="0.3">
      <c r="A20" s="1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3">
      <c r="A21" s="1" t="s">
        <v>26</v>
      </c>
      <c r="B21" s="7">
        <f>AVERAGE(B2:B19)</f>
        <v>-5.270241517364524E-2</v>
      </c>
      <c r="C21" s="7">
        <f t="shared" ref="C21:I21" si="0">AVERAGE(C2:C19)</f>
        <v>2.3438898670299843E-2</v>
      </c>
      <c r="D21" s="7">
        <f t="shared" si="0"/>
        <v>9.2330560074333323E-2</v>
      </c>
      <c r="E21" s="7">
        <f t="shared" si="0"/>
        <v>0.1662572683522619</v>
      </c>
      <c r="F21" s="7">
        <f t="shared" si="0"/>
        <v>-0.12005979542791703</v>
      </c>
      <c r="G21" s="7">
        <f t="shared" si="0"/>
        <v>-0.12066556736865795</v>
      </c>
      <c r="H21" s="7">
        <f t="shared" si="0"/>
        <v>0.21138603974875705</v>
      </c>
      <c r="I21" s="7">
        <f t="shared" si="0"/>
        <v>0.27879641733524008</v>
      </c>
      <c r="J21" s="8"/>
      <c r="K21" s="8"/>
    </row>
    <row r="22" spans="1:11" x14ac:dyDescent="0.3">
      <c r="A22" s="1" t="s">
        <v>27</v>
      </c>
      <c r="B22" s="7">
        <f>STDEV(B2:B19)/SQRT(18)</f>
        <v>0.15835330516977011</v>
      </c>
      <c r="C22" s="7">
        <f t="shared" ref="C22:I22" si="1">STDEV(C2:C19)/SQRT(18)</f>
        <v>0.17795149379411679</v>
      </c>
      <c r="D22" s="7">
        <f t="shared" si="1"/>
        <v>9.6235111198676601E-2</v>
      </c>
      <c r="E22" s="7">
        <f t="shared" si="1"/>
        <v>0.13900423321655009</v>
      </c>
      <c r="F22" s="7">
        <f t="shared" si="1"/>
        <v>0.11303680216239727</v>
      </c>
      <c r="G22" s="7">
        <f t="shared" si="1"/>
        <v>0.13946013196346319</v>
      </c>
      <c r="H22" s="7">
        <f t="shared" si="1"/>
        <v>8.6681304814822502E-2</v>
      </c>
      <c r="I22" s="7">
        <f t="shared" si="1"/>
        <v>0.11068198377553332</v>
      </c>
      <c r="J22" s="8"/>
      <c r="K22" s="8"/>
    </row>
    <row r="23" spans="1:11" x14ac:dyDescent="0.3">
      <c r="A23" s="1" t="s">
        <v>29</v>
      </c>
      <c r="B23" s="7">
        <f>TTEST(B2:B19,$K2:$K19,1,3)</f>
        <v>0.37167135640739402</v>
      </c>
      <c r="C23" s="7">
        <f t="shared" ref="C23:I23" si="2">TTEST(C2:C19,$K2:$K19,1,3)</f>
        <v>0.44837797629146231</v>
      </c>
      <c r="D23" s="7">
        <f t="shared" si="2"/>
        <v>0.17539575986732725</v>
      </c>
      <c r="E23" s="7">
        <f t="shared" si="2"/>
        <v>0.12404501634458844</v>
      </c>
      <c r="F23" s="7">
        <f t="shared" si="2"/>
        <v>0.1515165089620458</v>
      </c>
      <c r="G23" s="7">
        <f t="shared" si="2"/>
        <v>0.19947823975420481</v>
      </c>
      <c r="H23" s="9">
        <f t="shared" si="2"/>
        <v>1.3003069285102526E-2</v>
      </c>
      <c r="I23" s="9">
        <f t="shared" si="2"/>
        <v>1.1038184744237413E-2</v>
      </c>
      <c r="J23" s="8"/>
      <c r="K23" s="8"/>
    </row>
    <row r="24" spans="1:11" x14ac:dyDescent="0.3">
      <c r="A24" s="1" t="s">
        <v>30</v>
      </c>
      <c r="B24" s="7">
        <f>TTEST(B2:B19,$K2:$K19,2,3)</f>
        <v>0.74334271281478803</v>
      </c>
      <c r="C24" s="7">
        <f t="shared" ref="C24:I24" si="3">TTEST(C2:C19,$K2:$K19,2,3)</f>
        <v>0.89675595258292462</v>
      </c>
      <c r="D24" s="7">
        <f t="shared" si="3"/>
        <v>0.3507915197346545</v>
      </c>
      <c r="E24" s="7">
        <f t="shared" si="3"/>
        <v>0.24809003268917687</v>
      </c>
      <c r="F24" s="7">
        <f t="shared" si="3"/>
        <v>0.3030330179240916</v>
      </c>
      <c r="G24" s="7">
        <f t="shared" si="3"/>
        <v>0.39895647950840962</v>
      </c>
      <c r="H24" s="9">
        <f t="shared" si="3"/>
        <v>2.6006138570205051E-2</v>
      </c>
      <c r="I24" s="9">
        <f t="shared" si="3"/>
        <v>2.2076369488474825E-2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PPI parameters in semantic ROIs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Chiou (Staff)</dc:creator>
  <cp:lastModifiedBy>Rocco Chiou (Staff)</cp:lastModifiedBy>
  <dcterms:created xsi:type="dcterms:W3CDTF">2026-08-30T18:59:46Z</dcterms:created>
  <dcterms:modified xsi:type="dcterms:W3CDTF">2026-08-30T19:12:59Z</dcterms:modified>
</cp:coreProperties>
</file>