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co\Desktop\x.Upload_to_Github\Study_5\"/>
    </mc:Choice>
  </mc:AlternateContent>
  <xr:revisionPtr revIDLastSave="0" documentId="13_ncr:1_{E5811F54-FC58-4EF0-AAD2-8E284A4B412C}" xr6:coauthVersionLast="47" xr6:coauthVersionMax="47" xr10:uidLastSave="{00000000-0000-0000-0000-000000000000}"/>
  <bookViews>
    <workbookView xWindow="-108" yWindow="-108" windowWidth="23256" windowHeight="12456" xr2:uid="{FDB0A3BA-D432-4B91-8F7B-498341A73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F2" i="1"/>
  <c r="E2" i="1"/>
  <c r="B31" i="1"/>
  <c r="F30" i="1"/>
  <c r="E3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E3" i="1"/>
  <c r="E4" i="1"/>
  <c r="E5" i="1"/>
  <c r="E6" i="1"/>
  <c r="E7" i="1"/>
  <c r="E28" i="1" s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C30" i="1"/>
  <c r="D30" i="1"/>
  <c r="B30" i="1"/>
  <c r="C29" i="1"/>
  <c r="D29" i="1"/>
  <c r="B29" i="1"/>
  <c r="C28" i="1"/>
  <c r="D28" i="1"/>
  <c r="B28" i="1"/>
  <c r="E29" i="1" l="1"/>
  <c r="F29" i="1"/>
  <c r="F28" i="1"/>
</calcChain>
</file>

<file path=xl/sharedStrings.xml><?xml version="1.0" encoding="utf-8"?>
<sst xmlns="http://schemas.openxmlformats.org/spreadsheetml/2006/main" count="35" uniqueCount="34">
  <si>
    <t>subj-01</t>
  </si>
  <si>
    <t>subj-02</t>
  </si>
  <si>
    <t>subj-03</t>
  </si>
  <si>
    <t>subj-04</t>
  </si>
  <si>
    <t>subj-05</t>
  </si>
  <si>
    <t>subj-06</t>
  </si>
  <si>
    <t>subj-07</t>
  </si>
  <si>
    <t>subj-08</t>
  </si>
  <si>
    <t>subj-09</t>
  </si>
  <si>
    <t>subj-10</t>
  </si>
  <si>
    <t>subj-11</t>
  </si>
  <si>
    <t>subj-12</t>
  </si>
  <si>
    <t>subj-13</t>
  </si>
  <si>
    <t>subj-14</t>
  </si>
  <si>
    <t>subj-15</t>
  </si>
  <si>
    <t>subj-16</t>
  </si>
  <si>
    <t>subj-17</t>
  </si>
  <si>
    <t>subj-18</t>
  </si>
  <si>
    <t>subj-19</t>
  </si>
  <si>
    <t>subj-20</t>
  </si>
  <si>
    <t>subj-21</t>
  </si>
  <si>
    <t>subj-22</t>
  </si>
  <si>
    <t>subj-23</t>
  </si>
  <si>
    <t>subj-24</t>
  </si>
  <si>
    <t>Mean</t>
  </si>
  <si>
    <t>SEM</t>
  </si>
  <si>
    <t>chance</t>
  </si>
  <si>
    <r>
      <rPr>
        <i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-test</t>
    </r>
  </si>
  <si>
    <t>subj-25</t>
  </si>
  <si>
    <t>Conc&gt;Rest</t>
  </si>
  <si>
    <t>Abst&gt;Rest</t>
  </si>
  <si>
    <t>Num&gt;Rest</t>
  </si>
  <si>
    <t>Conc&gt;Num</t>
  </si>
  <si>
    <t>Abst&gt;Num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</si>
</sst>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547C-5D2B-4457-A22E-EE85BAC5A6C4}">
  <dimension ref="A1:H31"/>
  <sheetViews>
    <sheetView tabSelected="1" zoomScale="80" zoomScaleNormal="80" workbookViewId="0"/>
  </sheetViews>
  <sheetFormatPr defaultRowHeight="14.4" x14ac:dyDescent="0.3"/>
  <cols>
    <col min="1" max="1" width="8.88671875" style="1"/>
    <col min="2" max="6" width="14.77734375" style="1" customWidth="1"/>
    <col min="7" max="16384" width="8.88671875" style="1"/>
  </cols>
  <sheetData>
    <row r="1" spans="1:8" x14ac:dyDescent="0.3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H1" s="1" t="s">
        <v>26</v>
      </c>
    </row>
    <row r="2" spans="1:8" x14ac:dyDescent="0.3">
      <c r="A2" s="1" t="s">
        <v>0</v>
      </c>
      <c r="B2" s="1">
        <v>-0.383770186321509</v>
      </c>
      <c r="C2" s="1">
        <v>-0.66231961512350201</v>
      </c>
      <c r="D2" s="1">
        <v>-0.24457323461851199</v>
      </c>
      <c r="E2" s="1">
        <f>B2-D2</f>
        <v>-0.13919695170299701</v>
      </c>
      <c r="F2" s="1">
        <f>C2-D2</f>
        <v>-0.41774638050499002</v>
      </c>
      <c r="H2" s="1">
        <v>0</v>
      </c>
    </row>
    <row r="3" spans="1:8" x14ac:dyDescent="0.3">
      <c r="A3" s="1" t="s">
        <v>1</v>
      </c>
      <c r="B3" s="1">
        <v>-0.62232309988558798</v>
      </c>
      <c r="C3" s="1">
        <v>-0.73525870442152597</v>
      </c>
      <c r="D3" s="1">
        <v>-0.69730291424993995</v>
      </c>
      <c r="E3" s="1">
        <f t="shared" ref="E3:E26" si="0">B3-D3</f>
        <v>7.4979814364351971E-2</v>
      </c>
      <c r="F3" s="1">
        <f t="shared" ref="F3:F26" si="1">C3-D3</f>
        <v>-3.7955790171586012E-2</v>
      </c>
      <c r="H3" s="1">
        <v>0</v>
      </c>
    </row>
    <row r="4" spans="1:8" x14ac:dyDescent="0.3">
      <c r="A4" s="1" t="s">
        <v>2</v>
      </c>
      <c r="B4" s="1">
        <v>-0.22566986995868399</v>
      </c>
      <c r="C4" s="1">
        <v>-0.20482428184325599</v>
      </c>
      <c r="D4" s="1">
        <v>-0.30065141431742598</v>
      </c>
      <c r="E4" s="1">
        <f t="shared" si="0"/>
        <v>7.4981544358741992E-2</v>
      </c>
      <c r="F4" s="1">
        <f t="shared" si="1"/>
        <v>9.582713247416999E-2</v>
      </c>
      <c r="H4" s="1">
        <v>0</v>
      </c>
    </row>
    <row r="5" spans="1:8" x14ac:dyDescent="0.3">
      <c r="A5" s="1" t="s">
        <v>3</v>
      </c>
      <c r="B5" s="1">
        <v>-0.63997955203819401</v>
      </c>
      <c r="C5" s="1">
        <v>-0.96735340109824497</v>
      </c>
      <c r="D5" s="1">
        <v>-0.97260323005358895</v>
      </c>
      <c r="E5" s="1">
        <f t="shared" si="0"/>
        <v>0.33262367801539494</v>
      </c>
      <c r="F5" s="1">
        <f t="shared" si="1"/>
        <v>5.2498289553439825E-3</v>
      </c>
      <c r="H5" s="1">
        <v>0</v>
      </c>
    </row>
    <row r="6" spans="1:8" x14ac:dyDescent="0.3">
      <c r="A6" s="1" t="s">
        <v>4</v>
      </c>
      <c r="B6" s="1">
        <v>-0.20297173759887199</v>
      </c>
      <c r="C6" s="1">
        <v>-0.33044238460361303</v>
      </c>
      <c r="D6" s="1">
        <v>-0.329803438150918</v>
      </c>
      <c r="E6" s="1">
        <f t="shared" si="0"/>
        <v>0.12683170055204601</v>
      </c>
      <c r="F6" s="1">
        <f t="shared" si="1"/>
        <v>-6.389464526950217E-4</v>
      </c>
      <c r="H6" s="1">
        <v>0</v>
      </c>
    </row>
    <row r="7" spans="1:8" x14ac:dyDescent="0.3">
      <c r="A7" s="1" t="s">
        <v>5</v>
      </c>
      <c r="B7" s="1">
        <v>-0.49855740703239898</v>
      </c>
      <c r="C7" s="1">
        <v>-0.630266329253516</v>
      </c>
      <c r="D7" s="1">
        <v>-0.52119602321726799</v>
      </c>
      <c r="E7" s="1">
        <f t="shared" si="0"/>
        <v>2.2638616184869009E-2</v>
      </c>
      <c r="F7" s="1">
        <f t="shared" si="1"/>
        <v>-0.10907030603624801</v>
      </c>
      <c r="H7" s="1">
        <v>0</v>
      </c>
    </row>
    <row r="8" spans="1:8" x14ac:dyDescent="0.3">
      <c r="A8" s="1" t="s">
        <v>6</v>
      </c>
      <c r="B8" s="1">
        <v>-0.105089061231751</v>
      </c>
      <c r="C8" s="1">
        <v>-0.33211931107343401</v>
      </c>
      <c r="D8" s="1">
        <v>-0.50937921204956105</v>
      </c>
      <c r="E8" s="1">
        <f t="shared" si="0"/>
        <v>0.40429015081781006</v>
      </c>
      <c r="F8" s="1">
        <f t="shared" si="1"/>
        <v>0.17725990097612704</v>
      </c>
      <c r="H8" s="1">
        <v>0</v>
      </c>
    </row>
    <row r="9" spans="1:8" x14ac:dyDescent="0.3">
      <c r="A9" s="1" t="s">
        <v>7</v>
      </c>
      <c r="B9" s="1">
        <v>-0.39162936326792802</v>
      </c>
      <c r="C9" s="1">
        <v>-0.51126377969484904</v>
      </c>
      <c r="D9" s="1">
        <v>-0.40805101232281998</v>
      </c>
      <c r="E9" s="1">
        <f t="shared" si="0"/>
        <v>1.6421649054891962E-2</v>
      </c>
      <c r="F9" s="1">
        <f t="shared" si="1"/>
        <v>-0.10321276737202906</v>
      </c>
      <c r="H9" s="1">
        <v>0</v>
      </c>
    </row>
    <row r="10" spans="1:8" x14ac:dyDescent="0.3">
      <c r="A10" s="1" t="s">
        <v>8</v>
      </c>
      <c r="B10" s="1">
        <v>-0.55780825140402301</v>
      </c>
      <c r="C10" s="1">
        <v>-0.66932893253485304</v>
      </c>
      <c r="D10" s="1">
        <v>-0.79663428287103899</v>
      </c>
      <c r="E10" s="1">
        <f t="shared" si="0"/>
        <v>0.23882603146701598</v>
      </c>
      <c r="F10" s="1">
        <f t="shared" si="1"/>
        <v>0.12730535033618595</v>
      </c>
      <c r="H10" s="1">
        <v>0</v>
      </c>
    </row>
    <row r="11" spans="1:8" x14ac:dyDescent="0.3">
      <c r="A11" s="1" t="s">
        <v>9</v>
      </c>
      <c r="B11" s="1">
        <v>0.28828984122870799</v>
      </c>
      <c r="C11" s="1">
        <v>-0.124545767258761</v>
      </c>
      <c r="D11" s="1">
        <v>-6.8405234956990704E-2</v>
      </c>
      <c r="E11" s="1">
        <f t="shared" si="0"/>
        <v>0.35669507618569868</v>
      </c>
      <c r="F11" s="1">
        <f t="shared" si="1"/>
        <v>-5.6140532301770296E-2</v>
      </c>
      <c r="H11" s="1">
        <v>0</v>
      </c>
    </row>
    <row r="12" spans="1:8" x14ac:dyDescent="0.3">
      <c r="A12" s="1" t="s">
        <v>10</v>
      </c>
      <c r="B12" s="1">
        <v>-6.8700318381960807E-2</v>
      </c>
      <c r="C12" s="1">
        <v>1.55438098377537E-2</v>
      </c>
      <c r="D12" s="1">
        <v>-0.14775114229111</v>
      </c>
      <c r="E12" s="1">
        <f t="shared" si="0"/>
        <v>7.9050823909149193E-2</v>
      </c>
      <c r="F12" s="1">
        <f t="shared" si="1"/>
        <v>0.16329495212886369</v>
      </c>
      <c r="H12" s="1">
        <v>0</v>
      </c>
    </row>
    <row r="13" spans="1:8" x14ac:dyDescent="0.3">
      <c r="A13" s="1" t="s">
        <v>11</v>
      </c>
      <c r="B13" s="1">
        <v>-0.53219199134708495</v>
      </c>
      <c r="C13" s="1">
        <v>-0.81192708652944701</v>
      </c>
      <c r="D13" s="1">
        <v>-0.66040781028863205</v>
      </c>
      <c r="E13" s="1">
        <f t="shared" si="0"/>
        <v>0.1282158189415471</v>
      </c>
      <c r="F13" s="1">
        <f t="shared" si="1"/>
        <v>-0.15151927624081496</v>
      </c>
      <c r="H13" s="1">
        <v>0</v>
      </c>
    </row>
    <row r="14" spans="1:8" x14ac:dyDescent="0.3">
      <c r="A14" s="1" t="s">
        <v>12</v>
      </c>
      <c r="B14" s="1">
        <v>-0.43779852773981198</v>
      </c>
      <c r="C14" s="1">
        <v>-0.53095855546573201</v>
      </c>
      <c r="D14" s="1">
        <v>-0.40839937741466198</v>
      </c>
      <c r="E14" s="1">
        <f t="shared" si="0"/>
        <v>-2.9399150325150003E-2</v>
      </c>
      <c r="F14" s="1">
        <f t="shared" si="1"/>
        <v>-0.12255917805107003</v>
      </c>
      <c r="H14" s="1">
        <v>0</v>
      </c>
    </row>
    <row r="15" spans="1:8" x14ac:dyDescent="0.3">
      <c r="A15" s="1" t="s">
        <v>13</v>
      </c>
      <c r="B15" s="1">
        <v>-1.0605428401264401</v>
      </c>
      <c r="C15" s="1">
        <v>-1.15323488884133</v>
      </c>
      <c r="D15" s="1">
        <v>-0.98429464945735901</v>
      </c>
      <c r="E15" s="1">
        <f t="shared" si="0"/>
        <v>-7.6248190669081062E-2</v>
      </c>
      <c r="F15" s="1">
        <f t="shared" si="1"/>
        <v>-0.16894023938397096</v>
      </c>
      <c r="H15" s="1">
        <v>0</v>
      </c>
    </row>
    <row r="16" spans="1:8" x14ac:dyDescent="0.3">
      <c r="A16" s="1" t="s">
        <v>14</v>
      </c>
      <c r="B16" s="1">
        <v>-0.50572169025934099</v>
      </c>
      <c r="C16" s="1">
        <v>-0.51006641553355803</v>
      </c>
      <c r="D16" s="1">
        <v>-0.39977595550890199</v>
      </c>
      <c r="E16" s="1">
        <f t="shared" si="0"/>
        <v>-0.105945734750439</v>
      </c>
      <c r="F16" s="1">
        <f t="shared" si="1"/>
        <v>-0.11029046002465603</v>
      </c>
      <c r="H16" s="1">
        <v>0</v>
      </c>
    </row>
    <row r="17" spans="1:8" x14ac:dyDescent="0.3">
      <c r="A17" s="1" t="s">
        <v>15</v>
      </c>
      <c r="B17" s="1">
        <v>-0.88845425554778501</v>
      </c>
      <c r="C17" s="1">
        <v>-0.91274050842724397</v>
      </c>
      <c r="D17" s="1">
        <v>-0.99209047470292899</v>
      </c>
      <c r="E17" s="1">
        <f t="shared" si="0"/>
        <v>0.10363621915514398</v>
      </c>
      <c r="F17" s="1">
        <f t="shared" si="1"/>
        <v>7.9349966275685024E-2</v>
      </c>
      <c r="H17" s="1">
        <v>0</v>
      </c>
    </row>
    <row r="18" spans="1:8" x14ac:dyDescent="0.3">
      <c r="A18" s="1" t="s">
        <v>16</v>
      </c>
      <c r="B18" s="1">
        <v>-0.38768160591741602</v>
      </c>
      <c r="C18" s="1">
        <v>-0.431568029328463</v>
      </c>
      <c r="D18" s="1">
        <v>-0.62430632501151395</v>
      </c>
      <c r="E18" s="1">
        <f t="shared" si="0"/>
        <v>0.23662471909409794</v>
      </c>
      <c r="F18" s="1">
        <f t="shared" si="1"/>
        <v>0.19273829568305095</v>
      </c>
      <c r="H18" s="1">
        <v>0</v>
      </c>
    </row>
    <row r="19" spans="1:8" x14ac:dyDescent="0.3">
      <c r="A19" s="1" t="s">
        <v>17</v>
      </c>
      <c r="B19" s="1">
        <v>-0.34371572809819501</v>
      </c>
      <c r="C19" s="1">
        <v>-0.357753477023522</v>
      </c>
      <c r="D19" s="1">
        <v>-0.37307087850294002</v>
      </c>
      <c r="E19" s="1">
        <f t="shared" si="0"/>
        <v>2.9355150404745012E-2</v>
      </c>
      <c r="F19" s="1">
        <f t="shared" si="1"/>
        <v>1.5317401479418014E-2</v>
      </c>
      <c r="H19" s="1">
        <v>0</v>
      </c>
    </row>
    <row r="20" spans="1:8" x14ac:dyDescent="0.3">
      <c r="A20" s="1" t="s">
        <v>18</v>
      </c>
      <c r="B20" s="1">
        <v>-7.8199273619378201E-2</v>
      </c>
      <c r="C20" s="1">
        <v>-0.29900166855686999</v>
      </c>
      <c r="D20" s="1">
        <v>-0.26657257022865399</v>
      </c>
      <c r="E20" s="1">
        <f t="shared" si="0"/>
        <v>0.18837329660927579</v>
      </c>
      <c r="F20" s="1">
        <f t="shared" si="1"/>
        <v>-3.2429098328215999E-2</v>
      </c>
      <c r="H20" s="1">
        <v>0</v>
      </c>
    </row>
    <row r="21" spans="1:8" x14ac:dyDescent="0.3">
      <c r="A21" s="1" t="s">
        <v>19</v>
      </c>
      <c r="B21" s="1">
        <v>-0.19748600358683999</v>
      </c>
      <c r="C21" s="1">
        <v>-0.20144688543003</v>
      </c>
      <c r="D21" s="1">
        <v>-0.55057257571253504</v>
      </c>
      <c r="E21" s="1">
        <f t="shared" si="0"/>
        <v>0.35308657212569505</v>
      </c>
      <c r="F21" s="1">
        <f t="shared" si="1"/>
        <v>0.34912569028250506</v>
      </c>
      <c r="H21" s="1">
        <v>0</v>
      </c>
    </row>
    <row r="22" spans="1:8" x14ac:dyDescent="0.3">
      <c r="A22" s="1" t="s">
        <v>20</v>
      </c>
      <c r="B22" s="1">
        <v>-0.86837924473053796</v>
      </c>
      <c r="C22" s="1">
        <v>-0.92307172459346198</v>
      </c>
      <c r="D22" s="1">
        <v>-0.90234299878426105</v>
      </c>
      <c r="E22" s="1">
        <f t="shared" si="0"/>
        <v>3.3963754053723094E-2</v>
      </c>
      <c r="F22" s="1">
        <f t="shared" si="1"/>
        <v>-2.0728725809200932E-2</v>
      </c>
      <c r="H22" s="1">
        <v>0</v>
      </c>
    </row>
    <row r="23" spans="1:8" x14ac:dyDescent="0.3">
      <c r="A23" s="1" t="s">
        <v>21</v>
      </c>
      <c r="B23" s="1">
        <v>-0.44643110341988401</v>
      </c>
      <c r="C23" s="1">
        <v>-0.61145235763144601</v>
      </c>
      <c r="D23" s="1">
        <v>-0.60531234599838002</v>
      </c>
      <c r="E23" s="1">
        <f t="shared" si="0"/>
        <v>0.15888124257849601</v>
      </c>
      <c r="F23" s="1">
        <f t="shared" si="1"/>
        <v>-6.1400116330659893E-3</v>
      </c>
      <c r="H23" s="1">
        <v>0</v>
      </c>
    </row>
    <row r="24" spans="1:8" x14ac:dyDescent="0.3">
      <c r="A24" s="1" t="s">
        <v>22</v>
      </c>
      <c r="B24" s="1">
        <v>-0.45478341329336502</v>
      </c>
      <c r="C24" s="1">
        <v>-0.78293271101623496</v>
      </c>
      <c r="D24" s="1">
        <v>-0.54726059005109595</v>
      </c>
      <c r="E24" s="1">
        <f t="shared" si="0"/>
        <v>9.2477176757730928E-2</v>
      </c>
      <c r="F24" s="1">
        <f t="shared" si="1"/>
        <v>-0.23567212096513901</v>
      </c>
      <c r="H24" s="1">
        <v>0</v>
      </c>
    </row>
    <row r="25" spans="1:8" x14ac:dyDescent="0.3">
      <c r="A25" s="1" t="s">
        <v>23</v>
      </c>
      <c r="B25" s="1">
        <v>-0.75330742485612601</v>
      </c>
      <c r="C25" s="1">
        <v>-0.89878979030192796</v>
      </c>
      <c r="D25" s="1">
        <v>-0.89400156104443596</v>
      </c>
      <c r="E25" s="1">
        <f t="shared" si="0"/>
        <v>0.14069413618830995</v>
      </c>
      <c r="F25" s="1">
        <f t="shared" si="1"/>
        <v>-4.7882292574920049E-3</v>
      </c>
      <c r="H25" s="1">
        <v>0</v>
      </c>
    </row>
    <row r="26" spans="1:8" x14ac:dyDescent="0.3">
      <c r="A26" s="1" t="s">
        <v>28</v>
      </c>
      <c r="B26" s="1">
        <v>-0.51839029054004004</v>
      </c>
      <c r="C26" s="1">
        <v>-0.80120535428649298</v>
      </c>
      <c r="D26" s="1">
        <v>-0.195135949153733</v>
      </c>
      <c r="E26" s="1">
        <f t="shared" si="0"/>
        <v>-0.32325434138630704</v>
      </c>
      <c r="F26" s="1">
        <f t="shared" si="1"/>
        <v>-0.60606940513275998</v>
      </c>
      <c r="H26" s="1">
        <v>0</v>
      </c>
    </row>
    <row r="28" spans="1:8" x14ac:dyDescent="0.3">
      <c r="A28" s="1" t="s">
        <v>24</v>
      </c>
      <c r="B28" s="1">
        <f>AVERAGE(B2:B26)</f>
        <v>-0.43525169595897795</v>
      </c>
      <c r="C28" s="1">
        <f t="shared" ref="C28:F28" si="2">AVERAGE(C2:C26)</f>
        <v>-0.57513312600134259</v>
      </c>
      <c r="D28" s="1">
        <f t="shared" si="2"/>
        <v>-0.5359958080383681</v>
      </c>
      <c r="E28" s="1">
        <f t="shared" si="2"/>
        <v>0.10074411207939039</v>
      </c>
      <c r="F28" s="1">
        <f t="shared" si="2"/>
        <v>-3.9137317962974184E-2</v>
      </c>
    </row>
    <row r="29" spans="1:8" x14ac:dyDescent="0.3">
      <c r="A29" s="1" t="s">
        <v>25</v>
      </c>
      <c r="B29" s="1">
        <f>STDEV(B2:B26)/SQRT(24)</f>
        <v>5.9902089602918041E-2</v>
      </c>
      <c r="C29" s="1">
        <f t="shared" ref="C29:F29" si="3">STDEV(C2:C26)/SQRT(24)</f>
        <v>6.0762963813872251E-2</v>
      </c>
      <c r="D29" s="1">
        <f t="shared" si="3"/>
        <v>5.5964234472327193E-2</v>
      </c>
      <c r="E29" s="1">
        <f t="shared" si="3"/>
        <v>3.4351339355418328E-2</v>
      </c>
      <c r="F29" s="1">
        <f t="shared" si="3"/>
        <v>3.9867817121188434E-2</v>
      </c>
    </row>
    <row r="30" spans="1:8" x14ac:dyDescent="0.3">
      <c r="A30" s="1" t="s">
        <v>27</v>
      </c>
      <c r="B30" s="3">
        <f>TTEST(B2:B26,$H2:$H26,1,3)</f>
        <v>5.8777359103874221E-8</v>
      </c>
      <c r="C30" s="3">
        <f t="shared" ref="C30:D30" si="4">TTEST(C2:C26,$H2:$H26,1,3)</f>
        <v>4.8053371234308429E-10</v>
      </c>
      <c r="D30" s="3">
        <f t="shared" si="4"/>
        <v>3.8262855099863774E-10</v>
      </c>
      <c r="E30" s="2">
        <f>TTEST(E2:E26,$H2:$H26,1,3)</f>
        <v>3.1531495703729143E-3</v>
      </c>
      <c r="F30" s="4">
        <f>TTEST(F2:F26,$H2:$H26,1,3)</f>
        <v>0.16318883887784608</v>
      </c>
    </row>
    <row r="31" spans="1:8" x14ac:dyDescent="0.3">
      <c r="A31" s="1" t="s">
        <v>27</v>
      </c>
      <c r="B31" s="5">
        <f>TTEST(B2:B26,C2:C26,2,1)</f>
        <v>1.1010067478358665E-5</v>
      </c>
      <c r="C31" s="5"/>
      <c r="E31" s="5">
        <f>TTEST(E2:E26,F2:F26,2,1)</f>
        <v>1.1010067478358724E-5</v>
      </c>
      <c r="F31" s="5"/>
    </row>
  </sheetData>
  <mergeCells count="2">
    <mergeCell ref="B31:C31"/>
    <mergeCell ref="E31:F3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Chiou (Staff)</dc:creator>
  <cp:lastModifiedBy>Rocco Chiou (Staff)</cp:lastModifiedBy>
  <dcterms:created xsi:type="dcterms:W3CDTF">2026-04-14T16:27:10Z</dcterms:created>
  <dcterms:modified xsi:type="dcterms:W3CDTF">2026-08-30T20:32:27Z</dcterms:modified>
</cp:coreProperties>
</file>