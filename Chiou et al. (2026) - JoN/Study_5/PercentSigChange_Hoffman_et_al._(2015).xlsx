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cco\Desktop\x.Upload_to_Github\Study_5\"/>
    </mc:Choice>
  </mc:AlternateContent>
  <xr:revisionPtr revIDLastSave="0" documentId="13_ncr:1_{EC24EDF0-B50B-42E8-9E2B-1002E0F013C9}" xr6:coauthVersionLast="47" xr6:coauthVersionMax="47" xr10:uidLastSave="{00000000-0000-0000-0000-000000000000}"/>
  <bookViews>
    <workbookView xWindow="-108" yWindow="-108" windowWidth="23256" windowHeight="12456" xr2:uid="{FDB0A3BA-D432-4B91-8F7B-498341A736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C23" i="1"/>
  <c r="D23" i="1"/>
  <c r="B23" i="1"/>
  <c r="B2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" i="1"/>
  <c r="E23" i="1" l="1"/>
  <c r="F23" i="1"/>
  <c r="E24" i="1"/>
  <c r="C22" i="1" l="1"/>
  <c r="D22" i="1"/>
  <c r="B22" i="1"/>
  <c r="D21" i="1"/>
  <c r="C21" i="1"/>
  <c r="B21" i="1"/>
  <c r="E22" i="1" l="1"/>
  <c r="E21" i="1"/>
  <c r="F22" i="1" l="1"/>
  <c r="F21" i="1"/>
</calcChain>
</file>

<file path=xl/sharedStrings.xml><?xml version="1.0" encoding="utf-8"?>
<sst xmlns="http://schemas.openxmlformats.org/spreadsheetml/2006/main" count="28" uniqueCount="27">
  <si>
    <t>subj-01</t>
  </si>
  <si>
    <t>subj-02</t>
  </si>
  <si>
    <t>subj-03</t>
  </si>
  <si>
    <t>subj-04</t>
  </si>
  <si>
    <t>subj-05</t>
  </si>
  <si>
    <t>subj-06</t>
  </si>
  <si>
    <t>subj-07</t>
  </si>
  <si>
    <t>subj-08</t>
  </si>
  <si>
    <t>subj-09</t>
  </si>
  <si>
    <t>subj-10</t>
  </si>
  <si>
    <t>subj-11</t>
  </si>
  <si>
    <t>subj-12</t>
  </si>
  <si>
    <t>subj-13</t>
  </si>
  <si>
    <t>subj-14</t>
  </si>
  <si>
    <t>subj-15</t>
  </si>
  <si>
    <t>subj-16</t>
  </si>
  <si>
    <t>subj-17</t>
  </si>
  <si>
    <t>subj-18</t>
  </si>
  <si>
    <t>Mean</t>
  </si>
  <si>
    <t>SEM</t>
  </si>
  <si>
    <t>chance</t>
  </si>
  <si>
    <r>
      <rPr>
        <i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-test</t>
    </r>
  </si>
  <si>
    <t>Conc&gt;Rest</t>
  </si>
  <si>
    <t>Abst&gt;Rest</t>
  </si>
  <si>
    <t>Num&gt;Rest</t>
  </si>
  <si>
    <t>Conc&gt;Num</t>
  </si>
  <si>
    <t>Abst&gt;Num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</si>
</sst>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left"/>
    </xf>
    <xf numFmtId="165" fontId="0" fillId="0" borderId="0" xfId="0" applyNumberFormat="1" applyAlignment="1">
      <alignment horizontal="center"/>
    </xf>
    <xf numFmtId="164" fontId="6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1547C-5D2B-4457-A22E-EE85BAC5A6C4}">
  <dimension ref="A1:L26"/>
  <sheetViews>
    <sheetView tabSelected="1" zoomScale="80" zoomScaleNormal="80" workbookViewId="0"/>
  </sheetViews>
  <sheetFormatPr defaultRowHeight="14.4" x14ac:dyDescent="0.3"/>
  <cols>
    <col min="1" max="1" width="8.88671875" style="1"/>
    <col min="2" max="6" width="14.77734375" style="1" customWidth="1"/>
    <col min="7" max="16384" width="8.88671875" style="1"/>
  </cols>
  <sheetData>
    <row r="1" spans="1:10" x14ac:dyDescent="0.3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H1" s="1" t="s">
        <v>20</v>
      </c>
    </row>
    <row r="2" spans="1:10" x14ac:dyDescent="0.3">
      <c r="A2" s="1" t="s">
        <v>0</v>
      </c>
      <c r="B2" s="1">
        <v>-4.51953546664422E-2</v>
      </c>
      <c r="C2" s="1">
        <v>-7.1865099083303699E-2</v>
      </c>
      <c r="D2" s="1">
        <v>2.2680565298097099E-2</v>
      </c>
      <c r="E2" s="1">
        <f>B2-D2</f>
        <v>-6.7875919964539302E-2</v>
      </c>
      <c r="F2" s="1">
        <f>C2-D2</f>
        <v>-9.4545664381400801E-2</v>
      </c>
      <c r="H2" s="1">
        <v>0</v>
      </c>
      <c r="J2" s="4"/>
    </row>
    <row r="3" spans="1:10" x14ac:dyDescent="0.3">
      <c r="A3" s="1" t="s">
        <v>1</v>
      </c>
      <c r="B3" s="1">
        <v>-4.41745423493137E-2</v>
      </c>
      <c r="C3" s="1">
        <v>-6.0863296849915101E-2</v>
      </c>
      <c r="D3" s="1">
        <v>5.9392972359032903E-2</v>
      </c>
      <c r="E3" s="1">
        <f t="shared" ref="E3:E19" si="0">B3-D3</f>
        <v>-0.1035675147083466</v>
      </c>
      <c r="F3" s="1">
        <f t="shared" ref="F3:F18" si="1">C3-D3</f>
        <v>-0.120256269208948</v>
      </c>
      <c r="H3" s="1">
        <v>0</v>
      </c>
      <c r="J3" s="4"/>
    </row>
    <row r="4" spans="1:10" x14ac:dyDescent="0.3">
      <c r="A4" s="1" t="s">
        <v>2</v>
      </c>
      <c r="B4" s="1">
        <v>5.1527472434982097E-2</v>
      </c>
      <c r="C4" s="1">
        <v>4.2065456212621701E-3</v>
      </c>
      <c r="D4" s="1">
        <v>-1.5815893614498401E-2</v>
      </c>
      <c r="E4" s="1">
        <f t="shared" si="0"/>
        <v>6.7343366049480491E-2</v>
      </c>
      <c r="F4" s="1">
        <f t="shared" si="1"/>
        <v>2.002243923576057E-2</v>
      </c>
      <c r="H4" s="1">
        <v>0</v>
      </c>
      <c r="J4" s="4"/>
    </row>
    <row r="5" spans="1:10" x14ac:dyDescent="0.3">
      <c r="A5" s="1" t="s">
        <v>3</v>
      </c>
      <c r="B5" s="1">
        <v>3.92912931305964E-2</v>
      </c>
      <c r="C5" s="1">
        <v>3.4318530420588002E-2</v>
      </c>
      <c r="D5" s="1">
        <v>4.9783577779938498E-2</v>
      </c>
      <c r="E5" s="1">
        <f t="shared" si="0"/>
        <v>-1.0492284649342098E-2</v>
      </c>
      <c r="F5" s="1">
        <f t="shared" si="1"/>
        <v>-1.5465047359350496E-2</v>
      </c>
      <c r="H5" s="1">
        <v>0</v>
      </c>
      <c r="J5" s="4"/>
    </row>
    <row r="6" spans="1:10" x14ac:dyDescent="0.3">
      <c r="A6" s="1" t="s">
        <v>4</v>
      </c>
      <c r="B6" s="1">
        <v>1.59919755296902E-2</v>
      </c>
      <c r="C6" s="1">
        <v>-6.2754438079909505E-2</v>
      </c>
      <c r="D6" s="1">
        <v>-0.139628309974203</v>
      </c>
      <c r="E6" s="1">
        <f t="shared" si="0"/>
        <v>0.1556202855038932</v>
      </c>
      <c r="F6" s="1">
        <f t="shared" si="1"/>
        <v>7.6873871894293497E-2</v>
      </c>
      <c r="H6" s="1">
        <v>0</v>
      </c>
      <c r="J6" s="4"/>
    </row>
    <row r="7" spans="1:10" x14ac:dyDescent="0.3">
      <c r="A7" s="1" t="s">
        <v>5</v>
      </c>
      <c r="B7" s="1">
        <v>-5.0285173705889599E-2</v>
      </c>
      <c r="C7" s="1">
        <v>3.7156587215912702E-2</v>
      </c>
      <c r="D7" s="1">
        <v>-0.106889238753236</v>
      </c>
      <c r="E7" s="1">
        <f t="shared" si="0"/>
        <v>5.66040650473464E-2</v>
      </c>
      <c r="F7" s="1">
        <f t="shared" si="1"/>
        <v>0.14404582596914869</v>
      </c>
      <c r="H7" s="1">
        <v>0</v>
      </c>
      <c r="J7" s="4"/>
    </row>
    <row r="8" spans="1:10" x14ac:dyDescent="0.3">
      <c r="A8" s="1" t="s">
        <v>6</v>
      </c>
      <c r="B8" s="1">
        <v>-3.90744707524198E-2</v>
      </c>
      <c r="C8" s="1">
        <v>-7.8399038935258097E-2</v>
      </c>
      <c r="D8" s="1">
        <v>-0.105780099143751</v>
      </c>
      <c r="E8" s="1">
        <f t="shared" si="0"/>
        <v>6.6705628391331206E-2</v>
      </c>
      <c r="F8" s="1">
        <f t="shared" si="1"/>
        <v>2.7381060208492902E-2</v>
      </c>
      <c r="H8" s="1">
        <v>0</v>
      </c>
      <c r="J8" s="4"/>
    </row>
    <row r="9" spans="1:10" x14ac:dyDescent="0.3">
      <c r="A9" s="1" t="s">
        <v>7</v>
      </c>
      <c r="B9" s="1">
        <v>-1.8762061364868299E-2</v>
      </c>
      <c r="C9" s="1">
        <v>-9.3238328808883095E-2</v>
      </c>
      <c r="D9" s="1">
        <v>-0.11949880316489001</v>
      </c>
      <c r="E9" s="1">
        <f t="shared" si="0"/>
        <v>0.10073674180002171</v>
      </c>
      <c r="F9" s="1">
        <f t="shared" si="1"/>
        <v>2.626047435600691E-2</v>
      </c>
      <c r="H9" s="1">
        <v>0</v>
      </c>
      <c r="J9" s="4"/>
    </row>
    <row r="10" spans="1:10" x14ac:dyDescent="0.3">
      <c r="A10" s="1" t="s">
        <v>8</v>
      </c>
      <c r="B10" s="1">
        <v>3.0605780395391E-2</v>
      </c>
      <c r="C10" s="1">
        <v>7.3334292670080596E-3</v>
      </c>
      <c r="D10" s="1">
        <v>2.1871090689729498E-2</v>
      </c>
      <c r="E10" s="1">
        <f t="shared" si="0"/>
        <v>8.7346897056615018E-3</v>
      </c>
      <c r="F10" s="1">
        <f t="shared" si="1"/>
        <v>-1.4537661422721438E-2</v>
      </c>
      <c r="H10" s="1">
        <v>0</v>
      </c>
      <c r="J10" s="4"/>
    </row>
    <row r="11" spans="1:10" x14ac:dyDescent="0.3">
      <c r="A11" s="1" t="s">
        <v>9</v>
      </c>
      <c r="B11" s="1">
        <v>-0.11467647656532901</v>
      </c>
      <c r="C11" s="1">
        <v>-5.0929688784989997E-2</v>
      </c>
      <c r="D11" s="1">
        <v>-0.18008611979101199</v>
      </c>
      <c r="E11" s="1">
        <f t="shared" si="0"/>
        <v>6.540964322568299E-2</v>
      </c>
      <c r="F11" s="1">
        <f t="shared" si="1"/>
        <v>0.129156431006022</v>
      </c>
      <c r="H11" s="1">
        <v>0</v>
      </c>
      <c r="J11" s="4"/>
    </row>
    <row r="12" spans="1:10" x14ac:dyDescent="0.3">
      <c r="A12" s="1" t="s">
        <v>10</v>
      </c>
      <c r="B12" s="1">
        <v>-8.7408064950946704E-2</v>
      </c>
      <c r="C12" s="1">
        <v>-7.7670846181386699E-2</v>
      </c>
      <c r="D12" s="1">
        <v>8.9883545784637503E-2</v>
      </c>
      <c r="E12" s="1">
        <f t="shared" si="0"/>
        <v>-0.17729161073558419</v>
      </c>
      <c r="F12" s="1">
        <f t="shared" si="1"/>
        <v>-0.1675543919660242</v>
      </c>
      <c r="H12" s="1">
        <v>0</v>
      </c>
      <c r="J12" s="4"/>
    </row>
    <row r="13" spans="1:10" x14ac:dyDescent="0.3">
      <c r="A13" s="1" t="s">
        <v>11</v>
      </c>
      <c r="B13" s="1">
        <v>1.9018029811024802E-2</v>
      </c>
      <c r="C13" s="1">
        <v>-8.3797309575222897E-2</v>
      </c>
      <c r="D13" s="1">
        <v>-1.4010591139849199E-2</v>
      </c>
      <c r="E13" s="1">
        <f t="shared" si="0"/>
        <v>3.3028620950873999E-2</v>
      </c>
      <c r="F13" s="1">
        <f t="shared" si="1"/>
        <v>-6.9786718435373693E-2</v>
      </c>
      <c r="H13" s="1">
        <v>0</v>
      </c>
      <c r="J13" s="4"/>
    </row>
    <row r="14" spans="1:10" x14ac:dyDescent="0.3">
      <c r="A14" s="1" t="s">
        <v>12</v>
      </c>
      <c r="B14" s="1">
        <v>-7.3676256205103402E-2</v>
      </c>
      <c r="C14" s="1">
        <v>-0.10928793040359799</v>
      </c>
      <c r="D14" s="1">
        <v>-9.1903877383118796E-2</v>
      </c>
      <c r="E14" s="1">
        <f t="shared" si="0"/>
        <v>1.8227621178015393E-2</v>
      </c>
      <c r="F14" s="1">
        <f t="shared" si="1"/>
        <v>-1.7384053020479198E-2</v>
      </c>
      <c r="H14" s="1">
        <v>0</v>
      </c>
      <c r="J14" s="4"/>
    </row>
    <row r="15" spans="1:10" x14ac:dyDescent="0.3">
      <c r="A15" s="1" t="s">
        <v>13</v>
      </c>
      <c r="B15" s="1">
        <v>-4.4457136713614898E-2</v>
      </c>
      <c r="C15" s="1">
        <v>9.1535463135441401E-4</v>
      </c>
      <c r="D15" s="1">
        <v>-0.104761141796095</v>
      </c>
      <c r="E15" s="1">
        <f t="shared" si="0"/>
        <v>6.03040050824801E-2</v>
      </c>
      <c r="F15" s="1">
        <f t="shared" si="1"/>
        <v>0.10567649642744942</v>
      </c>
      <c r="H15" s="1">
        <v>0</v>
      </c>
      <c r="J15" s="4"/>
    </row>
    <row r="16" spans="1:10" x14ac:dyDescent="0.3">
      <c r="A16" s="1" t="s">
        <v>14</v>
      </c>
      <c r="B16" s="1">
        <v>2.2982525712136902E-2</v>
      </c>
      <c r="C16" s="1">
        <v>-8.1755191389371595E-2</v>
      </c>
      <c r="D16" s="1">
        <v>-0.11988103642148699</v>
      </c>
      <c r="E16" s="1">
        <f t="shared" si="0"/>
        <v>0.14286356213362389</v>
      </c>
      <c r="F16" s="1">
        <f t="shared" si="1"/>
        <v>3.8125845032115399E-2</v>
      </c>
      <c r="H16" s="1">
        <v>0</v>
      </c>
      <c r="J16" s="4"/>
    </row>
    <row r="17" spans="1:12" x14ac:dyDescent="0.3">
      <c r="A17" s="1" t="s">
        <v>15</v>
      </c>
      <c r="B17" s="1">
        <v>-1.9771711381139999E-2</v>
      </c>
      <c r="C17" s="1">
        <v>-4.4637627554104997E-2</v>
      </c>
      <c r="D17" s="1">
        <v>-0.12989885198787399</v>
      </c>
      <c r="E17" s="1">
        <f t="shared" si="0"/>
        <v>0.11012714060673398</v>
      </c>
      <c r="F17" s="1">
        <f t="shared" si="1"/>
        <v>8.526122443376899E-2</v>
      </c>
      <c r="H17" s="1">
        <v>0</v>
      </c>
      <c r="J17" s="4"/>
    </row>
    <row r="18" spans="1:12" x14ac:dyDescent="0.3">
      <c r="A18" s="1" t="s">
        <v>16</v>
      </c>
      <c r="B18" s="1">
        <v>-6.66300719566391E-2</v>
      </c>
      <c r="C18" s="1">
        <v>-0.14109327789140999</v>
      </c>
      <c r="D18" s="1">
        <v>1.5878762663703899E-2</v>
      </c>
      <c r="E18" s="1">
        <f t="shared" si="0"/>
        <v>-8.2508834620343002E-2</v>
      </c>
      <c r="F18" s="1">
        <f t="shared" si="1"/>
        <v>-0.15697204055511388</v>
      </c>
      <c r="H18" s="1">
        <v>0</v>
      </c>
      <c r="J18" s="4"/>
    </row>
    <row r="19" spans="1:12" x14ac:dyDescent="0.3">
      <c r="A19" s="1" t="s">
        <v>17</v>
      </c>
      <c r="B19" s="1">
        <v>-1.0256398612956401E-2</v>
      </c>
      <c r="C19" s="1">
        <v>-7.6974896891700506E-2</v>
      </c>
      <c r="D19" s="1">
        <v>-5.9952964637841999E-2</v>
      </c>
      <c r="E19" s="1">
        <f t="shared" si="0"/>
        <v>4.9696566024885598E-2</v>
      </c>
      <c r="F19" s="1">
        <f>C19-D19</f>
        <v>-1.7021932253858507E-2</v>
      </c>
      <c r="H19" s="1">
        <v>0</v>
      </c>
      <c r="J19" s="4"/>
    </row>
    <row r="21" spans="1:12" x14ac:dyDescent="0.3">
      <c r="A21" s="1" t="s">
        <v>18</v>
      </c>
      <c r="B21" s="1">
        <f>AVERAGE(B2:B19)</f>
        <v>-2.4163924567268985E-2</v>
      </c>
      <c r="C21" s="1">
        <f>AVERAGE(C2:C19)</f>
        <v>-5.2740917959607163E-2</v>
      </c>
      <c r="D21" s="1">
        <f>AVERAGE(D2:D19)</f>
        <v>-5.1589800735150931E-2</v>
      </c>
      <c r="E21" s="1">
        <f>AVERAGE(E2:E19)</f>
        <v>2.742587616788196E-2</v>
      </c>
      <c r="F21" s="1">
        <f t="shared" ref="F21" si="2">AVERAGE(F2:F19)</f>
        <v>-1.1511172244562137E-3</v>
      </c>
    </row>
    <row r="22" spans="1:12" x14ac:dyDescent="0.3">
      <c r="A22" s="1" t="s">
        <v>19</v>
      </c>
      <c r="B22" s="1">
        <f>STDEV(B2:B19)/SQRT(24)</f>
        <v>9.5619396447432659E-3</v>
      </c>
      <c r="C22" s="1">
        <f t="shared" ref="C22:F22" si="3">STDEV(C2:C19)/SQRT(24)</f>
        <v>1.0183363659596916E-2</v>
      </c>
      <c r="D22" s="1">
        <f t="shared" si="3"/>
        <v>1.6490616990144966E-2</v>
      </c>
      <c r="E22" s="1">
        <f t="shared" si="3"/>
        <v>1.7926919877441626E-2</v>
      </c>
      <c r="F22" s="1">
        <f t="shared" si="3"/>
        <v>1.8986252347311109E-2</v>
      </c>
    </row>
    <row r="23" spans="1:12" x14ac:dyDescent="0.3">
      <c r="A23" s="1" t="s">
        <v>21</v>
      </c>
      <c r="B23" s="2">
        <f>TTEST(B2:B19,$H2:$H19,1,3)</f>
        <v>2.1440356410788779E-2</v>
      </c>
      <c r="C23" s="2">
        <f>TTEST(C2:C19,$H2:$H19,1,3)</f>
        <v>1.6293458763034057E-4</v>
      </c>
      <c r="D23" s="2">
        <f>TTEST(D2:D19,$H2:$H19,1,3)</f>
        <v>7.4415365504934281E-3</v>
      </c>
      <c r="E23" s="5">
        <f>TTEST(E2:E19,$H2:$H19,1,3)</f>
        <v>0.1013680073222863</v>
      </c>
      <c r="F23" s="5">
        <f>TTEST(F2:F19,$H2:$H19,1,3)</f>
        <v>0.47936869272908145</v>
      </c>
      <c r="J23" s="2"/>
      <c r="K23" s="2"/>
      <c r="L23" s="2"/>
    </row>
    <row r="24" spans="1:12" x14ac:dyDescent="0.3">
      <c r="A24" s="1" t="s">
        <v>21</v>
      </c>
      <c r="B24" s="6">
        <f>TTEST(C2:C19,B2:B19,1,1)</f>
        <v>1.9262326232151801E-2</v>
      </c>
      <c r="C24" s="7"/>
      <c r="E24" s="6">
        <f>TTEST(F2:F19,E2:E19,1,1)</f>
        <v>1.9262326232151853E-2</v>
      </c>
      <c r="F24" s="7"/>
    </row>
    <row r="26" spans="1:12" ht="18" x14ac:dyDescent="0.35">
      <c r="B26" s="3"/>
    </row>
  </sheetData>
  <mergeCells count="2">
    <mergeCell ref="B24:C24"/>
    <mergeCell ref="E24:F2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Rocco Chiou (Staff)</dc:creator>
  <cp:lastModifiedBy>Rocco Chiou (Staff)</cp:lastModifiedBy>
  <dcterms:created xsi:type="dcterms:W3CDTF">2026-04-14T16:27:10Z</dcterms:created>
  <dcterms:modified xsi:type="dcterms:W3CDTF">2026-08-30T20:31:59Z</dcterms:modified>
</cp:coreProperties>
</file>