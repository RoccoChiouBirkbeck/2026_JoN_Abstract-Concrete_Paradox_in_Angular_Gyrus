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co\Dropbox\RoccoData\06_MyLab_Surrey\01 Number vs. Semantics\03_TMS_study_AngularGyrus\01_Expt_codes\x.Upload_to_Github\Study_5\"/>
    </mc:Choice>
  </mc:AlternateContent>
  <xr:revisionPtr revIDLastSave="0" documentId="13_ncr:1_{54C38E4F-822A-4308-ABD3-496EA0573188}" xr6:coauthVersionLast="47" xr6:coauthVersionMax="47" xr10:uidLastSave="{00000000-0000-0000-0000-000000000000}"/>
  <bookViews>
    <workbookView xWindow="-108" yWindow="-108" windowWidth="23256" windowHeight="12456" xr2:uid="{FDB0A3BA-D432-4B91-8F7B-498341A73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E3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B30" i="1"/>
  <c r="C29" i="1"/>
  <c r="B29" i="1"/>
  <c r="D29" i="1"/>
  <c r="C28" i="1"/>
  <c r="D28" i="1"/>
  <c r="B28" i="1"/>
  <c r="C27" i="1"/>
  <c r="D27" i="1"/>
  <c r="B27" i="1"/>
  <c r="F29" i="1" l="1"/>
  <c r="E29" i="1"/>
  <c r="E28" i="1"/>
  <c r="F27" i="1"/>
  <c r="F28" i="1"/>
  <c r="E27" i="1"/>
</calcChain>
</file>

<file path=xl/sharedStrings.xml><?xml version="1.0" encoding="utf-8"?>
<sst xmlns="http://schemas.openxmlformats.org/spreadsheetml/2006/main" count="34" uniqueCount="33">
  <si>
    <t>Self&gt;Control</t>
  </si>
  <si>
    <t>Queen&gt;Control</t>
  </si>
  <si>
    <t>subj-01</t>
  </si>
  <si>
    <t>subj-02</t>
  </si>
  <si>
    <t>subj-03</t>
  </si>
  <si>
    <t>subj-04</t>
  </si>
  <si>
    <t>subj-05</t>
  </si>
  <si>
    <t>subj-06</t>
  </si>
  <si>
    <t>subj-07</t>
  </si>
  <si>
    <t>subj-08</t>
  </si>
  <si>
    <t>subj-09</t>
  </si>
  <si>
    <t>subj-10</t>
  </si>
  <si>
    <t>subj-11</t>
  </si>
  <si>
    <t>subj-12</t>
  </si>
  <si>
    <t>subj-13</t>
  </si>
  <si>
    <t>subj-14</t>
  </si>
  <si>
    <t>subj-15</t>
  </si>
  <si>
    <t>subj-16</t>
  </si>
  <si>
    <t>subj-17</t>
  </si>
  <si>
    <t>subj-18</t>
  </si>
  <si>
    <t>subj-19</t>
  </si>
  <si>
    <t>subj-20</t>
  </si>
  <si>
    <t>subj-21</t>
  </si>
  <si>
    <t>subj-22</t>
  </si>
  <si>
    <t>subj-23</t>
  </si>
  <si>
    <t>subj-24</t>
  </si>
  <si>
    <t>Mean</t>
  </si>
  <si>
    <t>SEM</t>
  </si>
  <si>
    <t>chance</t>
  </si>
  <si>
    <r>
      <rPr>
        <i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-test</t>
    </r>
  </si>
  <si>
    <t>Self&gt;Rest</t>
  </si>
  <si>
    <t>Queen&gt;Rest</t>
  </si>
  <si>
    <t>Control&gt;Rest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</si>
</sst>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547C-5D2B-4457-A22E-EE85BAC5A6C4}">
  <dimension ref="A1:H30"/>
  <sheetViews>
    <sheetView tabSelected="1" zoomScale="80" zoomScaleNormal="80" workbookViewId="0"/>
  </sheetViews>
  <sheetFormatPr defaultRowHeight="14.4" x14ac:dyDescent="0.3"/>
  <cols>
    <col min="1" max="1" width="8.88671875" style="1"/>
    <col min="2" max="6" width="14.77734375" style="1" customWidth="1"/>
    <col min="7" max="16384" width="8.88671875" style="1"/>
  </cols>
  <sheetData>
    <row r="1" spans="1:8" x14ac:dyDescent="0.3">
      <c r="B1" s="1" t="s">
        <v>30</v>
      </c>
      <c r="C1" s="1" t="s">
        <v>31</v>
      </c>
      <c r="D1" s="1" t="s">
        <v>32</v>
      </c>
      <c r="E1" s="1" t="s">
        <v>0</v>
      </c>
      <c r="F1" s="1" t="s">
        <v>1</v>
      </c>
      <c r="H1" s="1" t="s">
        <v>28</v>
      </c>
    </row>
    <row r="2" spans="1:8" x14ac:dyDescent="0.3">
      <c r="A2" s="1" t="s">
        <v>2</v>
      </c>
      <c r="B2" s="1">
        <v>5.6567205859740399E-2</v>
      </c>
      <c r="C2" s="1">
        <v>0.18702209481651899</v>
      </c>
      <c r="D2" s="1">
        <v>-7.4466554447587499E-2</v>
      </c>
      <c r="E2" s="1">
        <f>B2-D2</f>
        <v>0.13103376030732788</v>
      </c>
      <c r="F2" s="1">
        <f>C2-D2</f>
        <v>0.26148864926410648</v>
      </c>
      <c r="H2" s="1">
        <v>0</v>
      </c>
    </row>
    <row r="3" spans="1:8" x14ac:dyDescent="0.3">
      <c r="A3" s="1" t="s">
        <v>3</v>
      </c>
      <c r="B3" s="1">
        <v>-0.13834148655838799</v>
      </c>
      <c r="C3" s="1">
        <v>-0.23784684499445</v>
      </c>
      <c r="D3" s="1">
        <v>-0.16520382129498601</v>
      </c>
      <c r="E3" s="1">
        <f t="shared" ref="E3:E25" si="0">B3-D3</f>
        <v>2.686233473659802E-2</v>
      </c>
      <c r="F3" s="1">
        <f t="shared" ref="F3:F25" si="1">C3-D3</f>
        <v>-7.2643023699463988E-2</v>
      </c>
      <c r="H3" s="1">
        <v>0</v>
      </c>
    </row>
    <row r="4" spans="1:8" x14ac:dyDescent="0.3">
      <c r="A4" s="1" t="s">
        <v>4</v>
      </c>
      <c r="B4" s="1">
        <v>5.4644677824859003E-2</v>
      </c>
      <c r="C4" s="1">
        <v>-1.9665658461714198E-3</v>
      </c>
      <c r="D4" s="1">
        <v>-0.122411194907861</v>
      </c>
      <c r="E4" s="1">
        <f t="shared" si="0"/>
        <v>0.17705587273272</v>
      </c>
      <c r="F4" s="1">
        <f t="shared" si="1"/>
        <v>0.12044462906168958</v>
      </c>
      <c r="H4" s="1">
        <v>0</v>
      </c>
    </row>
    <row r="5" spans="1:8" x14ac:dyDescent="0.3">
      <c r="A5" s="1" t="s">
        <v>5</v>
      </c>
      <c r="B5" s="1">
        <v>-2.9220375956313001E-2</v>
      </c>
      <c r="C5" s="1">
        <v>-3.4414102738455202E-2</v>
      </c>
      <c r="D5" s="1">
        <v>-0.36690209207520802</v>
      </c>
      <c r="E5" s="1">
        <f t="shared" si="0"/>
        <v>0.33768171611889503</v>
      </c>
      <c r="F5" s="1">
        <f t="shared" si="1"/>
        <v>0.33248798933675283</v>
      </c>
      <c r="H5" s="1">
        <v>0</v>
      </c>
    </row>
    <row r="6" spans="1:8" x14ac:dyDescent="0.3">
      <c r="A6" s="1" t="s">
        <v>6</v>
      </c>
      <c r="B6" s="1">
        <v>-1.27544560736817E-2</v>
      </c>
      <c r="C6" s="1">
        <v>-6.2693260529061601E-2</v>
      </c>
      <c r="D6" s="1">
        <v>-0.59018183569176197</v>
      </c>
      <c r="E6" s="1">
        <f t="shared" si="0"/>
        <v>0.57742737961808022</v>
      </c>
      <c r="F6" s="1">
        <f t="shared" si="1"/>
        <v>0.52748857516270031</v>
      </c>
      <c r="H6" s="1">
        <v>0</v>
      </c>
    </row>
    <row r="7" spans="1:8" x14ac:dyDescent="0.3">
      <c r="A7" s="1" t="s">
        <v>7</v>
      </c>
      <c r="B7" s="1">
        <v>2.4916057269566701E-2</v>
      </c>
      <c r="C7" s="1">
        <v>0.111954725370891</v>
      </c>
      <c r="D7" s="1">
        <v>-0.29306149532446002</v>
      </c>
      <c r="E7" s="1">
        <f t="shared" si="0"/>
        <v>0.31797755259402671</v>
      </c>
      <c r="F7" s="1">
        <f t="shared" si="1"/>
        <v>0.40501622069535104</v>
      </c>
      <c r="H7" s="1">
        <v>0</v>
      </c>
    </row>
    <row r="8" spans="1:8" x14ac:dyDescent="0.3">
      <c r="A8" s="1" t="s">
        <v>8</v>
      </c>
      <c r="B8" s="1">
        <v>8.5161785556548006E-2</v>
      </c>
      <c r="C8" s="1">
        <v>8.77801191994734E-2</v>
      </c>
      <c r="D8" s="1">
        <v>-0.344267426860071</v>
      </c>
      <c r="E8" s="1">
        <f t="shared" si="0"/>
        <v>0.42942921241661902</v>
      </c>
      <c r="F8" s="1">
        <f t="shared" si="1"/>
        <v>0.43204754605954443</v>
      </c>
      <c r="H8" s="1">
        <v>0</v>
      </c>
    </row>
    <row r="9" spans="1:8" x14ac:dyDescent="0.3">
      <c r="A9" s="1" t="s">
        <v>9</v>
      </c>
      <c r="B9" s="1">
        <v>0.13826958596466701</v>
      </c>
      <c r="C9" s="1">
        <v>0.122296794438221</v>
      </c>
      <c r="D9" s="1">
        <v>-0.15794240368415899</v>
      </c>
      <c r="E9" s="1">
        <f t="shared" si="0"/>
        <v>0.296211989648826</v>
      </c>
      <c r="F9" s="1">
        <f t="shared" si="1"/>
        <v>0.28023919812237996</v>
      </c>
      <c r="H9" s="1">
        <v>0</v>
      </c>
    </row>
    <row r="10" spans="1:8" x14ac:dyDescent="0.3">
      <c r="A10" s="1" t="s">
        <v>10</v>
      </c>
      <c r="B10" s="1">
        <v>-1.1693585416385901E-2</v>
      </c>
      <c r="C10" s="1">
        <v>8.0318819163967797E-2</v>
      </c>
      <c r="D10" s="1">
        <v>-0.167790596125627</v>
      </c>
      <c r="E10" s="1">
        <f t="shared" si="0"/>
        <v>0.15609701070924109</v>
      </c>
      <c r="F10" s="1">
        <f t="shared" si="1"/>
        <v>0.24810941528959479</v>
      </c>
      <c r="H10" s="1">
        <v>0</v>
      </c>
    </row>
    <row r="11" spans="1:8" x14ac:dyDescent="0.3">
      <c r="A11" s="1" t="s">
        <v>11</v>
      </c>
      <c r="B11" s="1">
        <v>-8.05139981622158E-2</v>
      </c>
      <c r="C11" s="1">
        <v>-9.2974671323481403E-2</v>
      </c>
      <c r="D11" s="1">
        <v>-0.34881079443517798</v>
      </c>
      <c r="E11" s="1">
        <f t="shared" si="0"/>
        <v>0.26829679627296221</v>
      </c>
      <c r="F11" s="1">
        <f t="shared" si="1"/>
        <v>0.25583612311169657</v>
      </c>
      <c r="H11" s="1">
        <v>0</v>
      </c>
    </row>
    <row r="12" spans="1:8" x14ac:dyDescent="0.3">
      <c r="A12" s="1" t="s">
        <v>12</v>
      </c>
      <c r="B12" s="1">
        <v>2.6155760843481601E-2</v>
      </c>
      <c r="C12" s="1">
        <v>-1.1041850534435699E-2</v>
      </c>
      <c r="D12" s="1">
        <v>-0.15472431790996899</v>
      </c>
      <c r="E12" s="1">
        <f t="shared" si="0"/>
        <v>0.18088007875345058</v>
      </c>
      <c r="F12" s="1">
        <f t="shared" si="1"/>
        <v>0.14368246737553328</v>
      </c>
      <c r="H12" s="1">
        <v>0</v>
      </c>
    </row>
    <row r="13" spans="1:8" x14ac:dyDescent="0.3">
      <c r="A13" s="1" t="s">
        <v>13</v>
      </c>
      <c r="B13" s="1">
        <v>0.31205892953985997</v>
      </c>
      <c r="C13" s="1">
        <v>0.27147364735718998</v>
      </c>
      <c r="D13" s="1">
        <v>-0.32625121462124901</v>
      </c>
      <c r="E13" s="1">
        <f t="shared" si="0"/>
        <v>0.63831014416110898</v>
      </c>
      <c r="F13" s="1">
        <f t="shared" si="1"/>
        <v>0.59772486197843899</v>
      </c>
      <c r="H13" s="1">
        <v>0</v>
      </c>
    </row>
    <row r="14" spans="1:8" x14ac:dyDescent="0.3">
      <c r="A14" s="1" t="s">
        <v>14</v>
      </c>
      <c r="B14" s="1">
        <v>0.15803253035326101</v>
      </c>
      <c r="C14" s="1">
        <v>5.02877008218406E-2</v>
      </c>
      <c r="D14" s="1">
        <v>-0.105950666514825</v>
      </c>
      <c r="E14" s="1">
        <f t="shared" si="0"/>
        <v>0.26398319686808602</v>
      </c>
      <c r="F14" s="1">
        <f t="shared" si="1"/>
        <v>0.1562383673366656</v>
      </c>
      <c r="H14" s="1">
        <v>0</v>
      </c>
    </row>
    <row r="15" spans="1:8" x14ac:dyDescent="0.3">
      <c r="A15" s="1" t="s">
        <v>15</v>
      </c>
      <c r="B15" s="1">
        <v>0.13746134191662701</v>
      </c>
      <c r="C15" s="1">
        <v>4.5308614981288402E-2</v>
      </c>
      <c r="D15" s="1">
        <v>-0.29485160339410399</v>
      </c>
      <c r="E15" s="1">
        <f t="shared" si="0"/>
        <v>0.432312945310731</v>
      </c>
      <c r="F15" s="1">
        <f t="shared" si="1"/>
        <v>0.3401602183753924</v>
      </c>
      <c r="H15" s="1">
        <v>0</v>
      </c>
    </row>
    <row r="16" spans="1:8" x14ac:dyDescent="0.3">
      <c r="A16" s="1" t="s">
        <v>16</v>
      </c>
      <c r="B16" s="1">
        <v>5.9601463877250203E-2</v>
      </c>
      <c r="C16" s="1">
        <v>-4.6565740459947803E-2</v>
      </c>
      <c r="D16" s="1">
        <v>1.8432289185125999E-2</v>
      </c>
      <c r="E16" s="1">
        <f t="shared" si="0"/>
        <v>4.1169174692124208E-2</v>
      </c>
      <c r="F16" s="1">
        <f t="shared" si="1"/>
        <v>-6.4998029645073799E-2</v>
      </c>
      <c r="H16" s="1">
        <v>0</v>
      </c>
    </row>
    <row r="17" spans="1:8" x14ac:dyDescent="0.3">
      <c r="A17" s="1" t="s">
        <v>17</v>
      </c>
      <c r="B17" s="1">
        <v>0.153786066865405</v>
      </c>
      <c r="C17" s="1">
        <v>0.16186940880450901</v>
      </c>
      <c r="D17" s="1">
        <v>-0.111767378971024</v>
      </c>
      <c r="E17" s="1">
        <f t="shared" si="0"/>
        <v>0.26555344583642898</v>
      </c>
      <c r="F17" s="1">
        <f t="shared" si="1"/>
        <v>0.27363678777553302</v>
      </c>
      <c r="H17" s="1">
        <v>0</v>
      </c>
    </row>
    <row r="18" spans="1:8" x14ac:dyDescent="0.3">
      <c r="A18" s="1" t="s">
        <v>18</v>
      </c>
      <c r="B18" s="1">
        <v>0.100664573980857</v>
      </c>
      <c r="C18" s="1">
        <v>0.12880265404653399</v>
      </c>
      <c r="D18" s="1">
        <v>-0.189263840709996</v>
      </c>
      <c r="E18" s="1">
        <f t="shared" si="0"/>
        <v>0.28992841469085301</v>
      </c>
      <c r="F18" s="1">
        <f t="shared" si="1"/>
        <v>0.31806649475652998</v>
      </c>
      <c r="H18" s="1">
        <v>0</v>
      </c>
    </row>
    <row r="19" spans="1:8" x14ac:dyDescent="0.3">
      <c r="A19" s="1" t="s">
        <v>19</v>
      </c>
      <c r="B19" s="1">
        <v>5.1696169685145898E-2</v>
      </c>
      <c r="C19" s="1">
        <v>9.4769520900427007E-2</v>
      </c>
      <c r="D19" s="1">
        <v>-0.25462926924169499</v>
      </c>
      <c r="E19" s="1">
        <f t="shared" si="0"/>
        <v>0.30632543892684089</v>
      </c>
      <c r="F19" s="1">
        <f t="shared" si="1"/>
        <v>0.349398790142122</v>
      </c>
      <c r="H19" s="1">
        <v>0</v>
      </c>
    </row>
    <row r="20" spans="1:8" x14ac:dyDescent="0.3">
      <c r="A20" s="1" t="s">
        <v>20</v>
      </c>
      <c r="B20" s="1">
        <v>7.8617040462237706E-2</v>
      </c>
      <c r="C20" s="1">
        <v>4.0612757796263298E-2</v>
      </c>
      <c r="D20" s="1">
        <v>2.6350019230143899E-2</v>
      </c>
      <c r="E20" s="1">
        <f t="shared" si="0"/>
        <v>5.2267021232093806E-2</v>
      </c>
      <c r="F20" s="1">
        <f t="shared" si="1"/>
        <v>1.4262738566119398E-2</v>
      </c>
      <c r="H20" s="1">
        <v>0</v>
      </c>
    </row>
    <row r="21" spans="1:8" x14ac:dyDescent="0.3">
      <c r="A21" s="1" t="s">
        <v>21</v>
      </c>
      <c r="B21" s="1">
        <v>-4.6351952800036803E-2</v>
      </c>
      <c r="C21" s="1">
        <v>-7.3725758463941499E-2</v>
      </c>
      <c r="D21" s="1">
        <v>-7.5213594925731306E-2</v>
      </c>
      <c r="E21" s="1">
        <f t="shared" si="0"/>
        <v>2.8861642125694503E-2</v>
      </c>
      <c r="F21" s="1">
        <f t="shared" si="1"/>
        <v>1.4878364617898071E-3</v>
      </c>
      <c r="H21" s="1">
        <v>0</v>
      </c>
    </row>
    <row r="22" spans="1:8" x14ac:dyDescent="0.3">
      <c r="A22" s="1" t="s">
        <v>22</v>
      </c>
      <c r="B22" s="1">
        <v>0.23423728569833999</v>
      </c>
      <c r="C22" s="1">
        <v>4.1951854909772601E-2</v>
      </c>
      <c r="D22" s="1">
        <v>-0.181751024720121</v>
      </c>
      <c r="E22" s="1">
        <f t="shared" si="0"/>
        <v>0.41598831041846096</v>
      </c>
      <c r="F22" s="1">
        <f t="shared" si="1"/>
        <v>0.2237028796298936</v>
      </c>
      <c r="H22" s="1">
        <v>0</v>
      </c>
    </row>
    <row r="23" spans="1:8" x14ac:dyDescent="0.3">
      <c r="A23" s="1" t="s">
        <v>23</v>
      </c>
      <c r="B23" s="1">
        <v>-1.5958914160520699E-2</v>
      </c>
      <c r="C23" s="1">
        <v>2.3595636114712999E-2</v>
      </c>
      <c r="D23" s="1">
        <v>-0.17258602939907799</v>
      </c>
      <c r="E23" s="1">
        <f t="shared" si="0"/>
        <v>0.1566271152385573</v>
      </c>
      <c r="F23" s="1">
        <f t="shared" si="1"/>
        <v>0.19618166551379099</v>
      </c>
      <c r="H23" s="1">
        <v>0</v>
      </c>
    </row>
    <row r="24" spans="1:8" x14ac:dyDescent="0.3">
      <c r="A24" s="1" t="s">
        <v>24</v>
      </c>
      <c r="B24" s="1">
        <v>6.9596785745284301E-2</v>
      </c>
      <c r="C24" s="1">
        <v>6.6301656136525805E-2</v>
      </c>
      <c r="D24" s="1">
        <v>-7.1523043444928602E-2</v>
      </c>
      <c r="E24" s="1">
        <f t="shared" si="0"/>
        <v>0.1411198291902129</v>
      </c>
      <c r="F24" s="1">
        <f t="shared" si="1"/>
        <v>0.13782469958145441</v>
      </c>
      <c r="H24" s="1">
        <v>0</v>
      </c>
    </row>
    <row r="25" spans="1:8" x14ac:dyDescent="0.3">
      <c r="A25" s="1" t="s">
        <v>25</v>
      </c>
      <c r="B25" s="1">
        <v>6.18355465333233E-2</v>
      </c>
      <c r="C25" s="1">
        <v>0.129458187472828</v>
      </c>
      <c r="D25" s="1">
        <v>-9.5212942236335293E-2</v>
      </c>
      <c r="E25" s="1">
        <f t="shared" si="0"/>
        <v>0.1570484887696586</v>
      </c>
      <c r="F25" s="1">
        <f t="shared" si="1"/>
        <v>0.22467112970916331</v>
      </c>
      <c r="H25" s="1">
        <v>0</v>
      </c>
    </row>
    <row r="27" spans="1:8" x14ac:dyDescent="0.3">
      <c r="A27" s="1" t="s">
        <v>26</v>
      </c>
      <c r="B27" s="1">
        <f>AVERAGE(B2:B25)</f>
        <v>6.118616828537133E-2</v>
      </c>
      <c r="C27" s="1">
        <f t="shared" ref="C27:F27" si="2">AVERAGE(C2:C25)</f>
        <v>4.5107308226709136E-2</v>
      </c>
      <c r="D27" s="1">
        <f t="shared" si="2"/>
        <v>-0.1924992013550286</v>
      </c>
      <c r="E27" s="1">
        <f t="shared" si="2"/>
        <v>0.25368536964039995</v>
      </c>
      <c r="F27" s="1">
        <f t="shared" si="2"/>
        <v>0.23760650958173771</v>
      </c>
    </row>
    <row r="28" spans="1:8" x14ac:dyDescent="0.3">
      <c r="A28" s="1" t="s">
        <v>27</v>
      </c>
      <c r="B28" s="1">
        <f>STDEV(B2:B25)/SQRT(24)</f>
        <v>2.0151748362081921E-2</v>
      </c>
      <c r="C28" s="1">
        <f t="shared" ref="C28:F28" si="3">STDEV(C2:C25)/SQRT(24)</f>
        <v>2.1745650010500835E-2</v>
      </c>
      <c r="D28" s="1">
        <f t="shared" si="3"/>
        <v>2.8423799356149661E-2</v>
      </c>
      <c r="E28" s="1">
        <f t="shared" si="3"/>
        <v>3.3360129786904676E-2</v>
      </c>
      <c r="F28" s="1">
        <f t="shared" si="3"/>
        <v>3.449509468256836E-2</v>
      </c>
    </row>
    <row r="29" spans="1:8" x14ac:dyDescent="0.3">
      <c r="A29" s="1" t="s">
        <v>29</v>
      </c>
      <c r="B29" s="2">
        <f>TTEST(B2:B25,$H2:$H25,1,3)</f>
        <v>2.9339176001705442E-3</v>
      </c>
      <c r="C29" s="2">
        <f>TTEST(C2:C25,$H2:$H25,1,3)</f>
        <v>2.4713431005397642E-2</v>
      </c>
      <c r="D29" s="3">
        <f t="shared" ref="D29" si="4">TTEST(D2:D25,$H2:$H25,1,3)</f>
        <v>3.2963520532572091E-7</v>
      </c>
      <c r="E29" s="2">
        <f>TTEST(E2:E25,$H2:$H25,1,3)</f>
        <v>5.0617071315341898E-8</v>
      </c>
      <c r="F29" s="2">
        <f>TTEST(F2:F25,$H2:$H25,1,3)</f>
        <v>2.5268669383442808E-7</v>
      </c>
    </row>
    <row r="30" spans="1:8" x14ac:dyDescent="0.3">
      <c r="A30" s="1" t="s">
        <v>29</v>
      </c>
      <c r="B30" s="4">
        <f>TTEST(B2:B25,C2:C25,2,1)</f>
        <v>0.2970112109106755</v>
      </c>
      <c r="C30" s="5"/>
      <c r="E30" s="4">
        <f>TTEST(E2:E25,F2:F25,2,1)</f>
        <v>0.29701121091067501</v>
      </c>
      <c r="F30" s="5"/>
    </row>
  </sheetData>
  <mergeCells count="2">
    <mergeCell ref="B30:C30"/>
    <mergeCell ref="E30:F3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Chiou (Staff)</dc:creator>
  <cp:lastModifiedBy>Rocco Chiou (Staff)</cp:lastModifiedBy>
  <dcterms:created xsi:type="dcterms:W3CDTF">2026-04-14T16:27:10Z</dcterms:created>
  <dcterms:modified xsi:type="dcterms:W3CDTF">2026-08-30T20:03:39Z</dcterms:modified>
</cp:coreProperties>
</file>